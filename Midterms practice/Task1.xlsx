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tabRatio="724"/>
  </bookViews>
  <sheets>
    <sheet name="RevenueTbl" sheetId="8" r:id="rId1"/>
    <sheet name="StateTbl" sheetId="7" r:id="rId2"/>
    <sheet name="PaymentTbl" sheetId="5" r:id="rId3"/>
    <sheet name="DeparmentTbl" sheetId="4" r:id="rId4"/>
    <sheet name="ClientTbl" sheetId="3" r:id="rId5"/>
    <sheet name="Dirty Data" sheetId="2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" i="8"/>
  <c r="N34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5" i="8"/>
  <c r="P4" i="8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<sst xmlns="http://schemas.openxmlformats.org/spreadsheetml/2006/main" count="476" uniqueCount="230">
  <si>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</si>
  <si>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</si>
  <si>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</si>
  <si>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</si>
  <si>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</si>
  <si>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</si>
  <si>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</si>
  <si>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</si>
  <si>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</si>
  <si>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</si>
  <si>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</si>
  <si>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</si>
  <si>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</si>
  <si>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</si>
  <si>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</si>
  <si>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</si>
  <si>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</si>
  <si>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</si>
  <si>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</si>
  <si>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</si>
  <si>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</si>
  <si>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</si>
  <si>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</si>
  <si>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</si>
  <si>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</si>
  <si>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</si>
  <si>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</si>
  <si>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</si>
  <si>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</si>
  <si>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</si>
  <si>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</si>
  <si>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</si>
  <si>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</si>
  <si>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</si>
  <si>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</si>
  <si>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</si>
  <si>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</si>
  <si>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</si>
  <si>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</si>
  <si>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</si>
  <si>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</si>
  <si>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</si>
  <si>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</si>
  <si>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</si>
  <si>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</si>
  <si>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</si>
  <si>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</si>
  <si>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</si>
  <si>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</si>
  <si>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</si>
  <si>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</si>
  <si>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</si>
  <si>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</si>
  <si>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</si>
  <si>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</si>
  <si>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</si>
  <si>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</si>
  <si>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</si>
  <si>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</si>
  <si>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</si>
  <si>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</si>
  <si>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</si>
  <si>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</si>
  <si>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</si>
  <si>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</si>
  <si>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</si>
  <si>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</si>
  <si>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</si>
  <si>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</si>
  <si>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</si>
  <si>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</si>
  <si>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</si>
  <si>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</si>
  <si>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</si>
  <si>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</si>
  <si>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</si>
  <si>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</si>
  <si>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</si>
  <si>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</si>
  <si>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</si>
  <si>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</si>
  <si>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</si>
  <si>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</si>
  <si>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</si>
  <si>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</si>
  <si>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</si>
  <si>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</si>
  <si>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</si>
  <si>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</si>
  <si>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</si>
  <si>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</si>
  <si>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</si>
  <si>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</si>
  <si>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</si>
  <si>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</si>
  <si>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</si>
  <si>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</si>
  <si>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</si>
  <si>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</si>
  <si>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</si>
  <si>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</si>
  <si>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</si>
  <si>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</si>
  <si>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</si>
  <si>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</si>
  <si>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</si>
  <si>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</si>
  <si>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</si>
  <si>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</si>
  <si>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</si>
  <si>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</si>
  <si>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</si>
  <si>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</si>
  <si>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</si>
  <si>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</si>
  <si>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</si>
  <si>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</si>
  <si>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</si>
  <si>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</si>
  <si>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</si>
  <si>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</si>
  <si>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</si>
  <si>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</si>
  <si>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</si>
  <si>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</si>
  <si>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</si>
  <si>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</si>
  <si>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</si>
  <si>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</si>
  <si>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</si>
  <si>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</si>
  <si>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</si>
  <si>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</si>
  <si>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</si>
  <si>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</si>
  <si>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</si>
  <si>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</si>
  <si>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</si>
  <si>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</si>
  <si>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</si>
  <si>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</si>
  <si>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</si>
  <si>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</si>
  <si>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</si>
  <si>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</si>
  <si>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</si>
  <si>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</si>
  <si>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</si>
  <si>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</si>
  <si>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</si>
  <si>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</si>
  <si>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</si>
  <si>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</si>
  <si>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</si>
  <si>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</si>
  <si>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</si>
  <si>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</si>
  <si>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</si>
  <si>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</si>
  <si>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</si>
  <si>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</si>
  <si>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</si>
  <si>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</si>
  <si>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</si>
  <si>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</si>
  <si>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</si>
  <si>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</si>
  <si>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Others</t>
  </si>
  <si>
    <t>Client_id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</si>
  <si>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</si>
  <si>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</si>
  <si>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</si>
  <si>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</si>
  <si>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</si>
  <si>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</si>
  <si>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</si>
  <si>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</si>
  <si>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</si>
  <si>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</si>
  <si>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</si>
  <si>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</si>
  <si>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</si>
  <si>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</si>
  <si>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</si>
  <si>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</si>
  <si>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</si>
  <si>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</si>
  <si>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</si>
  <si>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</si>
  <si>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</si>
  <si>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</si>
  <si>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</si>
  <si>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</si>
  <si>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</si>
  <si>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</si>
  <si>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</si>
  <si>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</si>
  <si>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Dept_id</t>
  </si>
  <si>
    <t>Paymen_id</t>
  </si>
  <si>
    <t>TR-101</t>
  </si>
  <si>
    <t>TR-102</t>
  </si>
  <si>
    <t>TR-103</t>
  </si>
  <si>
    <t>TR-104</t>
  </si>
  <si>
    <t>TR-105</t>
  </si>
  <si>
    <t>TR-106</t>
  </si>
  <si>
    <t>TR-107</t>
  </si>
  <si>
    <t>TR-108</t>
  </si>
  <si>
    <t>TR-109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</si>
  <si>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</si>
  <si>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</si>
  <si>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</si>
  <si>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</si>
  <si>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</si>
  <si>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</si>
  <si>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</si>
  <si>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</si>
  <si>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</si>
  <si>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</si>
  <si>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</si>
  <si>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</si>
  <si>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</si>
  <si>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</si>
  <si>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</si>
  <si>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</si>
  <si>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</si>
  <si>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</si>
  <si>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</si>
  <si>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Trans-id</t>
  </si>
  <si>
    <t>State_id</t>
  </si>
  <si>
    <t>Payment_id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</si>
</sst>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0.0%"/>
    <numFmt numFmtId="167" formatCode="m/d/yyyy;@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0" fillId="0" borderId="0" xfId="0" applyNumberFormat="1"/>
    <xf numFmtId="9" fontId="0" fillId="0" borderId="0" xfId="1" applyNumberFormat="1" applyFont="1" applyAlignment="1">
      <alignment horizontal="center"/>
    </xf>
    <xf numFmtId="0" fontId="3" fillId="3" borderId="0" xfId="2"/>
  </cellXfs>
  <cellStyles count="3">
    <cellStyle name="60% - Accent1" xfId="2" builtinId="32"/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2"/>
  <sheetViews>
    <sheetView tabSelected="1" zoomScaleNormal="100" workbookViewId="0">
      <selection activeCell="H3" sqref="H3:H30"/>
    </sheetView>
  </sheetViews>
  <sheetFormatPr defaultColWidth="11" defaultRowHeight="15.75" x14ac:dyDescent="0.25"/>
  <cols>
    <col min="1" max="1" width="3.5" customWidth="1"/>
    <col min="2" max="4" width="10.625" customWidth="1"/>
    <col min="5" max="5" width="43.125" customWidth="1"/>
    <col min="6" max="6" width="14.875" bestFit="1" customWidth="1"/>
    <col min="7" max="7" width="14.375" bestFit="1" customWidth="1"/>
    <col min="8" max="8" width="14.375" customWidth="1"/>
    <col min="9" max="9" width="16.5" bestFit="1" customWidth="1"/>
    <col min="10" max="10" width="16.5" customWidth="1"/>
    <col min="11" max="11" width="8.75" bestFit="1" customWidth="1"/>
    <col min="12" max="12" width="16.25" bestFit="1" customWidth="1"/>
    <col min="13" max="13" width="12.375" customWidth="1"/>
    <col min="14" max="14" width="12.25" customWidth="1"/>
    <col min="15" max="15" width="8.25" customWidth="1"/>
    <col min="16" max="16" width="18.125" customWidth="1"/>
  </cols>
  <sheetData>
    <row r="2" spans="2:16" ht="23.25" x14ac:dyDescent="0.35">
      <c r="B2" s="5" t="s">
        <v>227</v>
      </c>
      <c r="C2" s="5" t="s">
        <v>0</v>
      </c>
      <c r="D2" s="5" t="s">
        <v>168</v>
      </c>
      <c r="E2" s="4" t="s">
        <v>5</v>
      </c>
      <c r="F2" s="4" t="s">
        <v>100</v>
      </c>
      <c r="G2" s="4" t="s">
        <v>101</v>
      </c>
      <c r="H2" s="4" t="s">
        <v>197</v>
      </c>
      <c r="I2" s="4" t="s">
        <v>6</v>
      </c>
      <c r="J2" s="4" t="s">
        <v>228</v>
      </c>
      <c r="K2" s="4" t="s">
        <v>158</v>
      </c>
      <c r="L2" s="4" t="s">
        <v>229</v>
      </c>
      <c r="M2" s="4" t="s">
        <v>47</v>
      </c>
      <c r="N2" s="4" t="s">
        <v>2</v>
      </c>
      <c r="O2" s="4" t="s">
        <v>3</v>
      </c>
      <c r="P2" s="4" t="s">
        <v>4</v>
      </c>
    </row>
    <row r="3" spans="2:16" x14ac:dyDescent="0.25">
      <c r="B3" s="6" t="s">
        <v>199</v>
      </c>
      <c r="C3" s="6">
        <v>45076</v>
      </c>
      <c r="D3" s="8" t="str">
        <f>VLOOKUP(E3:E30,ClientTbl!B$3:C$30,2,TRUE)</f>
        <v>C-100</v>
      </c>
      <c r="E3" t="s">
        <v>72</v>
      </c>
      <c r="F3" t="s">
        <v>102</v>
      </c>
      <c r="G3" t="s">
        <v>103</v>
      </c>
      <c r="H3" s="8">
        <f>VLOOKUP(I3:I30,DeparmentTbl!B$3:C$6,2,TRUE)</f>
        <v>102</v>
      </c>
      <c r="I3" t="s">
        <v>159</v>
      </c>
      <c r="J3" s="8">
        <f>VLOOKUP(K3:K30,StateTbl!B$3:C$6,2,TRUE)</f>
        <v>104</v>
      </c>
      <c r="K3" t="s">
        <v>160</v>
      </c>
      <c r="L3" s="8">
        <f>VLOOKUP(M3:M30,PaymentTbl!B$3:C$7,2,TRUE)</f>
        <v>105</v>
      </c>
      <c r="M3" t="s">
        <v>51</v>
      </c>
      <c r="N3" s="1">
        <v>4500</v>
      </c>
      <c r="O3" s="1">
        <v>598</v>
      </c>
      <c r="P3" s="7">
        <v>0.13</v>
      </c>
    </row>
    <row r="4" spans="2:16" x14ac:dyDescent="0.25">
      <c r="B4" s="6" t="s">
        <v>200</v>
      </c>
      <c r="C4" s="6">
        <v>45076</v>
      </c>
      <c r="D4" s="8" t="str">
        <f>VLOOKUP(E4:E31,ClientTbl!B$3:C$30,2,TRUE)</f>
        <v>C-122</v>
      </c>
      <c r="E4" t="s">
        <v>73</v>
      </c>
      <c r="F4" t="s">
        <v>104</v>
      </c>
      <c r="G4" t="s">
        <v>105</v>
      </c>
      <c r="H4" s="8">
        <f>VLOOKUP(I4:I31,DeparmentTbl!B$3:C$6,2,TRUE)</f>
        <v>104</v>
      </c>
      <c r="I4" t="s">
        <v>161</v>
      </c>
      <c r="J4" s="8">
        <f>VLOOKUP(K4:K31,StateTbl!B$3:C$6,2,TRUE)</f>
        <v>103</v>
      </c>
      <c r="K4" t="s">
        <v>162</v>
      </c>
      <c r="L4" s="8">
        <f>VLOOKUP(M4:M31,PaymentTbl!B$3:C$7,2,TRUE)</f>
        <v>104</v>
      </c>
      <c r="M4" t="s">
        <v>49</v>
      </c>
      <c r="N4" s="1">
        <v>3800</v>
      </c>
      <c r="O4" s="1">
        <v>1045</v>
      </c>
      <c r="P4" s="7">
        <f>O4/N4</f>
        <v>0.27500000000000002</v>
      </c>
    </row>
    <row r="5" spans="2:16" x14ac:dyDescent="0.25">
      <c r="B5" s="6" t="s">
        <v>201</v>
      </c>
      <c r="C5" s="6">
        <v>45076</v>
      </c>
      <c r="D5" s="8" t="str">
        <f>VLOOKUP(E5:E32,ClientTbl!B$3:C$30,2,TRUE)</f>
        <v>C-120</v>
      </c>
      <c r="E5" t="s">
        <v>74</v>
      </c>
      <c r="F5" t="s">
        <v>106</v>
      </c>
      <c r="G5" t="s">
        <v>107</v>
      </c>
      <c r="H5" s="8">
        <f>VLOOKUP(I5:I32,DeparmentTbl!B$3:C$6,2,TRUE)</f>
        <v>104</v>
      </c>
      <c r="I5" t="s">
        <v>161</v>
      </c>
      <c r="J5" s="8">
        <f>VLOOKUP(K5:K32,StateTbl!B$3:C$6,2,TRUE)</f>
        <v>103</v>
      </c>
      <c r="K5" t="s">
        <v>162</v>
      </c>
      <c r="L5" s="8">
        <f>VLOOKUP(M5:M32,PaymentTbl!B$3:C$7,2,TRUE)</f>
        <v>103</v>
      </c>
      <c r="M5" t="s">
        <v>167</v>
      </c>
      <c r="N5" s="1">
        <v>3712.5</v>
      </c>
      <c r="O5" s="1">
        <v>1009</v>
      </c>
      <c r="P5" s="7">
        <f>O5/N5</f>
        <v>0.2717845117845118</v>
      </c>
    </row>
    <row r="6" spans="2:16" x14ac:dyDescent="0.25">
      <c r="B6" s="6" t="s">
        <v>202</v>
      </c>
      <c r="C6" s="6">
        <v>45076</v>
      </c>
      <c r="D6" s="8" t="str">
        <f>VLOOKUP(E6:E33,ClientTbl!B$3:C$30,2,TRUE)</f>
        <v>C-125</v>
      </c>
      <c r="E6" t="s">
        <v>75</v>
      </c>
      <c r="F6" t="s">
        <v>108</v>
      </c>
      <c r="G6" t="s">
        <v>109</v>
      </c>
      <c r="H6" s="8">
        <f>VLOOKUP(I6:I33,DeparmentTbl!B$3:C$6,2,TRUE)</f>
        <v>103</v>
      </c>
      <c r="I6" t="s">
        <v>163</v>
      </c>
      <c r="J6" s="8">
        <f>VLOOKUP(K6:K33,StateTbl!B$3:C$6,2,TRUE)</f>
        <v>102</v>
      </c>
      <c r="K6" t="s">
        <v>164</v>
      </c>
      <c r="L6" s="8">
        <f>VLOOKUP(M6:M33,PaymentTbl!B$3:C$7,2,TRUE)</f>
        <v>103</v>
      </c>
      <c r="M6" t="s">
        <v>167</v>
      </c>
      <c r="N6" s="1">
        <v>4994.2241379310299</v>
      </c>
      <c r="O6" s="1">
        <v>779</v>
      </c>
      <c r="P6" s="7">
        <v>0.16</v>
      </c>
    </row>
    <row r="7" spans="2:16" x14ac:dyDescent="0.25">
      <c r="B7" s="6" t="s">
        <v>203</v>
      </c>
      <c r="C7" s="6">
        <v>45076</v>
      </c>
      <c r="D7" s="8" t="str">
        <f>VLOOKUP(E7:E34,ClientTbl!B$3:C$30,2,TRUE)</f>
        <v>C-123</v>
      </c>
      <c r="E7" t="s">
        <v>76</v>
      </c>
      <c r="F7" t="s">
        <v>110</v>
      </c>
      <c r="G7" t="s">
        <v>111</v>
      </c>
      <c r="H7" s="8">
        <f>VLOOKUP(I7:I34,DeparmentTbl!B$3:C$6,2,TRUE)</f>
        <v>103</v>
      </c>
      <c r="I7" t="s">
        <v>163</v>
      </c>
      <c r="J7" s="8">
        <f>VLOOKUP(K7:K34,StateTbl!B$3:C$6,2,TRUE)</f>
        <v>102</v>
      </c>
      <c r="K7" t="s">
        <v>164</v>
      </c>
      <c r="L7" s="8">
        <f>VLOOKUP(M7:M34,PaymentTbl!B$3:C$7,2,TRUE)</f>
        <v>102</v>
      </c>
      <c r="M7" t="s">
        <v>50</v>
      </c>
      <c r="N7" s="1">
        <v>5000</v>
      </c>
      <c r="O7" s="1">
        <v>684</v>
      </c>
      <c r="P7" s="7">
        <f>O7/N7</f>
        <v>0.1368</v>
      </c>
    </row>
    <row r="8" spans="2:16" x14ac:dyDescent="0.25">
      <c r="B8" s="6" t="s">
        <v>204</v>
      </c>
      <c r="C8" s="6">
        <v>45077</v>
      </c>
      <c r="D8" s="8" t="str">
        <f>VLOOKUP(E8:E35,ClientTbl!B$3:C$30,2,TRUE)</f>
        <v>C-115</v>
      </c>
      <c r="E8" t="s">
        <v>77</v>
      </c>
      <c r="F8" t="s">
        <v>112</v>
      </c>
      <c r="G8" t="s">
        <v>113</v>
      </c>
      <c r="H8" s="8">
        <f>VLOOKUP(I8:I35,DeparmentTbl!B$3:C$6,2,TRUE)</f>
        <v>102</v>
      </c>
      <c r="I8" t="s">
        <v>159</v>
      </c>
      <c r="J8" s="8">
        <f>VLOOKUP(K8:K35,StateTbl!B$3:C$6,2,TRUE)</f>
        <v>104</v>
      </c>
      <c r="K8" t="s">
        <v>160</v>
      </c>
      <c r="L8" s="8">
        <f>VLOOKUP(M8:M35,PaymentTbl!B$3:C$7,2,TRUE)</f>
        <v>105</v>
      </c>
      <c r="M8" t="s">
        <v>51</v>
      </c>
      <c r="N8" s="1">
        <v>6100</v>
      </c>
      <c r="O8" s="1">
        <v>544</v>
      </c>
      <c r="P8" s="7">
        <f>O8/N8</f>
        <v>8.9180327868852466E-2</v>
      </c>
    </row>
    <row r="9" spans="2:16" x14ac:dyDescent="0.25">
      <c r="B9" s="6" t="s">
        <v>205</v>
      </c>
      <c r="C9" s="6">
        <v>45077</v>
      </c>
      <c r="D9" s="8" t="str">
        <f>VLOOKUP(E9:E36,ClientTbl!B$3:C$30,2,TRUE)</f>
        <v>C-119</v>
      </c>
      <c r="E9" t="s">
        <v>78</v>
      </c>
      <c r="F9" t="s">
        <v>114</v>
      </c>
      <c r="G9" t="s">
        <v>115</v>
      </c>
      <c r="H9" s="8">
        <f>VLOOKUP(I9:I36,DeparmentTbl!B$3:C$6,2,TRUE)</f>
        <v>102</v>
      </c>
      <c r="I9" t="s">
        <v>159</v>
      </c>
      <c r="J9" s="8">
        <f>VLOOKUP(K9:K36,StateTbl!B$3:C$6,2,TRUE)</f>
        <v>104</v>
      </c>
      <c r="K9" t="s">
        <v>160</v>
      </c>
      <c r="L9" s="8">
        <f>VLOOKUP(M9:M36,PaymentTbl!B$3:C$7,2,TRUE)</f>
        <v>105</v>
      </c>
      <c r="M9" t="s">
        <v>51</v>
      </c>
      <c r="N9" s="1">
        <v>4625</v>
      </c>
      <c r="O9" s="1">
        <v>670</v>
      </c>
      <c r="P9" s="7">
        <f>O9/N9</f>
        <v>0.14486486486486486</v>
      </c>
    </row>
    <row r="10" spans="2:16" x14ac:dyDescent="0.25">
      <c r="B10" s="6" t="s">
        <v>206</v>
      </c>
      <c r="C10" s="6">
        <v>45077</v>
      </c>
      <c r="D10" s="8" t="str">
        <f>VLOOKUP(E10:E37,ClientTbl!B$3:C$30,2,TRUE)</f>
        <v>C-105</v>
      </c>
      <c r="E10" t="s">
        <v>79</v>
      </c>
      <c r="F10" t="s">
        <v>116</v>
      </c>
      <c r="G10" t="s">
        <v>117</v>
      </c>
      <c r="H10" s="8">
        <f>VLOOKUP(I10:I37,DeparmentTbl!B$3:C$6,2,TRUE)</f>
        <v>102</v>
      </c>
      <c r="I10" t="s">
        <v>159</v>
      </c>
      <c r="J10" s="8">
        <f>VLOOKUP(K10:K37,StateTbl!B$3:C$6,2,TRUE)</f>
        <v>104</v>
      </c>
      <c r="K10" t="s">
        <v>160</v>
      </c>
      <c r="L10" s="8">
        <f>VLOOKUP(M10:M37,PaymentTbl!B$3:C$7,2,TRUE)</f>
        <v>105</v>
      </c>
      <c r="M10" t="s">
        <v>51</v>
      </c>
      <c r="N10" s="1">
        <v>3800</v>
      </c>
      <c r="O10" s="1">
        <v>2045</v>
      </c>
      <c r="P10" s="7">
        <f>O10/N10</f>
        <v>0.53815789473684206</v>
      </c>
    </row>
    <row r="11" spans="2:16" x14ac:dyDescent="0.25">
      <c r="B11" s="6" t="s">
        <v>207</v>
      </c>
      <c r="C11" s="6">
        <v>45077</v>
      </c>
      <c r="D11" s="8" t="str">
        <f>VLOOKUP(E11:E38,ClientTbl!B$3:C$30,2,TRUE)</f>
        <v>C-102</v>
      </c>
      <c r="E11" t="s">
        <v>80</v>
      </c>
      <c r="F11" t="s">
        <v>118</v>
      </c>
      <c r="G11" t="s">
        <v>119</v>
      </c>
      <c r="H11" s="8">
        <f>VLOOKUP(I11:I38,DeparmentTbl!B$3:C$6,2,TRUE)</f>
        <v>102</v>
      </c>
      <c r="I11" t="s">
        <v>159</v>
      </c>
      <c r="J11" s="8">
        <f>VLOOKUP(K11:K38,StateTbl!B$3:C$6,2,TRUE)</f>
        <v>104</v>
      </c>
      <c r="K11" t="s">
        <v>160</v>
      </c>
      <c r="L11" s="8">
        <f>VLOOKUP(M11:M38,PaymentTbl!B$3:C$7,2,TRUE)</f>
        <v>101</v>
      </c>
      <c r="M11" t="s">
        <v>48</v>
      </c>
      <c r="N11" s="1">
        <v>3600</v>
      </c>
      <c r="O11" s="1">
        <v>1564</v>
      </c>
      <c r="P11" s="7">
        <f>O11/N11</f>
        <v>0.43444444444444447</v>
      </c>
    </row>
    <row r="12" spans="2:16" x14ac:dyDescent="0.25">
      <c r="B12" s="6" t="s">
        <v>208</v>
      </c>
      <c r="C12" s="6">
        <v>45077</v>
      </c>
      <c r="D12" s="8" t="str">
        <f>VLOOKUP(E12:E39,ClientTbl!B$3:C$30,2,TRUE)</f>
        <v>C-127</v>
      </c>
      <c r="E12" t="s">
        <v>81</v>
      </c>
      <c r="F12" t="s">
        <v>120</v>
      </c>
      <c r="G12" t="s">
        <v>121</v>
      </c>
      <c r="H12" s="8">
        <f>VLOOKUP(I12:I39,DeparmentTbl!B$3:C$6,2,TRUE)</f>
        <v>102</v>
      </c>
      <c r="I12" t="s">
        <v>159</v>
      </c>
      <c r="J12" s="8">
        <f>VLOOKUP(K12:K39,StateTbl!B$3:C$6,2,TRUE)</f>
        <v>104</v>
      </c>
      <c r="K12" t="s">
        <v>160</v>
      </c>
      <c r="L12" s="8">
        <f>VLOOKUP(M12:M39,PaymentTbl!B$3:C$7,2,TRUE)</f>
        <v>102</v>
      </c>
      <c r="M12" t="s">
        <v>50</v>
      </c>
      <c r="N12" s="1">
        <v>5100</v>
      </c>
      <c r="O12" s="1">
        <v>1220</v>
      </c>
      <c r="P12" s="7">
        <f>O12/N12</f>
        <v>0.23921568627450981</v>
      </c>
    </row>
    <row r="13" spans="2:16" x14ac:dyDescent="0.25">
      <c r="B13" s="6" t="s">
        <v>209</v>
      </c>
      <c r="C13" s="6">
        <v>45077</v>
      </c>
      <c r="D13" s="8" t="str">
        <f>VLOOKUP(E13:E40,ClientTbl!B$3:C$30,2,TRUE)</f>
        <v>C-121</v>
      </c>
      <c r="E13" t="s">
        <v>82</v>
      </c>
      <c r="F13" t="s">
        <v>122</v>
      </c>
      <c r="G13" t="s">
        <v>123</v>
      </c>
      <c r="H13" s="8">
        <f>VLOOKUP(I13:I40,DeparmentTbl!B$3:C$6,2,TRUE)</f>
        <v>102</v>
      </c>
      <c r="I13" t="s">
        <v>159</v>
      </c>
      <c r="J13" s="8">
        <f>VLOOKUP(K13:K40,StateTbl!B$3:C$6,2,TRUE)</f>
        <v>104</v>
      </c>
      <c r="K13" t="s">
        <v>160</v>
      </c>
      <c r="L13" s="8">
        <f>VLOOKUP(M13:M40,PaymentTbl!B$3:C$7,2,TRUE)</f>
        <v>102</v>
      </c>
      <c r="M13" t="s">
        <v>50</v>
      </c>
      <c r="N13" s="1">
        <v>4750</v>
      </c>
      <c r="O13" s="1">
        <v>1435</v>
      </c>
      <c r="P13" s="7">
        <f>O13/N13</f>
        <v>0.30210526315789471</v>
      </c>
    </row>
    <row r="14" spans="2:16" x14ac:dyDescent="0.25">
      <c r="B14" s="6" t="s">
        <v>210</v>
      </c>
      <c r="C14" s="6">
        <v>45077</v>
      </c>
      <c r="D14" s="8" t="str">
        <f>VLOOKUP(E14:E41,ClientTbl!B$3:C$30,2,TRUE)</f>
        <v>C-107</v>
      </c>
      <c r="E14" t="s">
        <v>83</v>
      </c>
      <c r="F14" t="s">
        <v>124</v>
      </c>
      <c r="G14" t="s">
        <v>125</v>
      </c>
      <c r="H14" s="8">
        <f>VLOOKUP(I14:I41,DeparmentTbl!B$3:C$6,2,TRUE)</f>
        <v>103</v>
      </c>
      <c r="I14" t="s">
        <v>163</v>
      </c>
      <c r="J14" s="8">
        <f>VLOOKUP(K14:K41,StateTbl!B$3:C$6,2,TRUE)</f>
        <v>102</v>
      </c>
      <c r="K14" t="s">
        <v>164</v>
      </c>
      <c r="L14" s="8">
        <f>VLOOKUP(M14:M41,PaymentTbl!B$3:C$7,2,TRUE)</f>
        <v>105</v>
      </c>
      <c r="M14" t="s">
        <v>51</v>
      </c>
      <c r="N14" s="1">
        <v>6000</v>
      </c>
      <c r="O14" s="1">
        <v>998</v>
      </c>
      <c r="P14" s="7">
        <f>O14/N14</f>
        <v>0.16633333333333333</v>
      </c>
    </row>
    <row r="15" spans="2:16" x14ac:dyDescent="0.25">
      <c r="B15" s="6" t="s">
        <v>211</v>
      </c>
      <c r="C15" s="6">
        <v>45077</v>
      </c>
      <c r="D15" s="8" t="str">
        <f>VLOOKUP(E15:E42,ClientTbl!B$3:C$30,2,TRUE)</f>
        <v>C-117</v>
      </c>
      <c r="E15" t="s">
        <v>84</v>
      </c>
      <c r="F15" t="s">
        <v>126</v>
      </c>
      <c r="G15" t="s">
        <v>127</v>
      </c>
      <c r="H15" s="8">
        <f>VLOOKUP(I15:I42,DeparmentTbl!B$3:C$6,2,TRUE)</f>
        <v>101</v>
      </c>
      <c r="I15" t="s">
        <v>165</v>
      </c>
      <c r="J15" s="8">
        <f>VLOOKUP(K15:K42,StateTbl!B$3:C$6,2,TRUE)</f>
        <v>101</v>
      </c>
      <c r="K15" t="s">
        <v>166</v>
      </c>
      <c r="L15" s="8">
        <f>VLOOKUP(M15:M42,PaymentTbl!B$3:C$7,2,TRUE)</f>
        <v>102</v>
      </c>
      <c r="M15" t="s">
        <v>50</v>
      </c>
      <c r="N15" s="1">
        <v>4500</v>
      </c>
      <c r="O15" s="1">
        <v>780</v>
      </c>
      <c r="P15" s="7">
        <f>O15/N15</f>
        <v>0.17333333333333334</v>
      </c>
    </row>
    <row r="16" spans="2:16" x14ac:dyDescent="0.25">
      <c r="B16" s="6" t="s">
        <v>212</v>
      </c>
      <c r="C16" s="6">
        <v>45078</v>
      </c>
      <c r="D16" s="8" t="str">
        <f>VLOOKUP(E16:E43,ClientTbl!B$3:C$30,2,TRUE)</f>
        <v>C-109</v>
      </c>
      <c r="E16" t="s">
        <v>85</v>
      </c>
      <c r="F16" t="s">
        <v>128</v>
      </c>
      <c r="G16" t="s">
        <v>129</v>
      </c>
      <c r="H16" s="8">
        <f>VLOOKUP(I16:I43,DeparmentTbl!B$3:C$6,2,TRUE)</f>
        <v>101</v>
      </c>
      <c r="I16" t="s">
        <v>165</v>
      </c>
      <c r="J16" s="8">
        <f>VLOOKUP(K16:K43,StateTbl!B$3:C$6,2,TRUE)</f>
        <v>101</v>
      </c>
      <c r="K16" t="s">
        <v>166</v>
      </c>
      <c r="L16" s="8">
        <f>VLOOKUP(M16:M43,PaymentTbl!B$3:C$7,2,TRUE)</f>
        <v>101</v>
      </c>
      <c r="M16" t="s">
        <v>48</v>
      </c>
      <c r="N16" s="1">
        <v>4994.2241379310344</v>
      </c>
      <c r="O16" s="1">
        <v>1044</v>
      </c>
      <c r="P16" s="7">
        <f>IFERROR(O16/N16,0)</f>
        <v>0.20904147894982134</v>
      </c>
    </row>
    <row r="17" spans="2:16" x14ac:dyDescent="0.25">
      <c r="B17" s="6" t="s">
        <v>213</v>
      </c>
      <c r="C17" s="6">
        <v>45078</v>
      </c>
      <c r="D17" s="8" t="str">
        <f>VLOOKUP(E17:E44,ClientTbl!B$3:C$30,2,TRUE)</f>
        <v>C-126</v>
      </c>
      <c r="E17" t="s">
        <v>86</v>
      </c>
      <c r="F17" t="s">
        <v>130</v>
      </c>
      <c r="G17" t="s">
        <v>131</v>
      </c>
      <c r="H17" s="8">
        <f>VLOOKUP(I17:I44,DeparmentTbl!B$3:C$6,2,TRUE)</f>
        <v>101</v>
      </c>
      <c r="I17" t="s">
        <v>165</v>
      </c>
      <c r="J17" s="8">
        <f>VLOOKUP(K17:K44,StateTbl!B$3:C$6,2,TRUE)</f>
        <v>101</v>
      </c>
      <c r="K17" t="s">
        <v>166</v>
      </c>
      <c r="L17" s="8">
        <f>VLOOKUP(M17:M44,PaymentTbl!B$3:C$7,2,TRUE)</f>
        <v>105</v>
      </c>
      <c r="M17" t="s">
        <v>51</v>
      </c>
      <c r="N17" s="1">
        <v>3712.5</v>
      </c>
      <c r="O17" s="1">
        <v>1222</v>
      </c>
      <c r="P17" s="7">
        <f>O17/N17</f>
        <v>0.32915824915824915</v>
      </c>
    </row>
    <row r="18" spans="2:16" x14ac:dyDescent="0.25">
      <c r="B18" s="6" t="s">
        <v>214</v>
      </c>
      <c r="C18" s="6">
        <v>45078</v>
      </c>
      <c r="D18" s="8" t="str">
        <f>VLOOKUP(E18:E45,ClientTbl!B$3:C$30,2,TRUE)</f>
        <v>C-124</v>
      </c>
      <c r="E18" t="s">
        <v>87</v>
      </c>
      <c r="F18" t="s">
        <v>132</v>
      </c>
      <c r="G18" t="s">
        <v>133</v>
      </c>
      <c r="H18" s="8">
        <f>VLOOKUP(I18:I45,DeparmentTbl!B$3:C$6,2,TRUE)</f>
        <v>101</v>
      </c>
      <c r="I18" t="s">
        <v>165</v>
      </c>
      <c r="J18" s="8">
        <f>VLOOKUP(K18:K45,StateTbl!B$3:C$6,2,TRUE)</f>
        <v>101</v>
      </c>
      <c r="K18" t="s">
        <v>166</v>
      </c>
      <c r="L18" s="8">
        <f>VLOOKUP(M18:M45,PaymentTbl!B$3:C$7,2,TRUE)</f>
        <v>105</v>
      </c>
      <c r="M18" t="s">
        <v>51</v>
      </c>
      <c r="N18" s="1">
        <v>4950</v>
      </c>
      <c r="O18" s="1">
        <v>1065</v>
      </c>
      <c r="P18" s="7">
        <f>O18/N18</f>
        <v>0.21515151515151515</v>
      </c>
    </row>
    <row r="19" spans="2:16" x14ac:dyDescent="0.25">
      <c r="B19" s="6" t="s">
        <v>215</v>
      </c>
      <c r="C19" s="6">
        <v>45078</v>
      </c>
      <c r="D19" s="8" t="str">
        <f>VLOOKUP(E19:E46,ClientTbl!B$3:C$30,2,TRUE)</f>
        <v>C-104</v>
      </c>
      <c r="E19" t="s">
        <v>88</v>
      </c>
      <c r="F19" t="s">
        <v>134</v>
      </c>
      <c r="G19" t="s">
        <v>135</v>
      </c>
      <c r="H19" s="8">
        <f>VLOOKUP(I19:I46,DeparmentTbl!B$3:C$6,2,TRUE)</f>
        <v>103</v>
      </c>
      <c r="I19" t="s">
        <v>163</v>
      </c>
      <c r="J19" s="8">
        <f>VLOOKUP(K19:K46,StateTbl!B$3:C$6,2,TRUE)</f>
        <v>102</v>
      </c>
      <c r="K19" t="s">
        <v>164</v>
      </c>
      <c r="L19" s="8">
        <f>VLOOKUP(M19:M46,PaymentTbl!B$3:C$7,2,TRUE)</f>
        <v>105</v>
      </c>
      <c r="M19" t="s">
        <v>51</v>
      </c>
      <c r="N19" s="1">
        <v>4750</v>
      </c>
      <c r="O19" s="1">
        <v>810</v>
      </c>
      <c r="P19" s="7">
        <f>O19/N19</f>
        <v>0.17052631578947369</v>
      </c>
    </row>
    <row r="20" spans="2:16" x14ac:dyDescent="0.25">
      <c r="B20" s="6" t="s">
        <v>216</v>
      </c>
      <c r="C20" s="6">
        <v>45078</v>
      </c>
      <c r="D20" s="8" t="str">
        <f>VLOOKUP(E20:E47,ClientTbl!B$3:C$30,2,TRUE)</f>
        <v>C-103</v>
      </c>
      <c r="E20" t="s">
        <v>89</v>
      </c>
      <c r="F20" t="s">
        <v>136</v>
      </c>
      <c r="G20" t="s">
        <v>137</v>
      </c>
      <c r="H20" s="8">
        <f>VLOOKUP(I20:I47,DeparmentTbl!B$3:C$6,2,TRUE)</f>
        <v>103</v>
      </c>
      <c r="I20" t="s">
        <v>163</v>
      </c>
      <c r="J20" s="8">
        <f>VLOOKUP(K20:K47,StateTbl!B$3:C$6,2,TRUE)</f>
        <v>102</v>
      </c>
      <c r="K20" t="s">
        <v>164</v>
      </c>
      <c r="L20" s="8">
        <f>VLOOKUP(M20:M47,PaymentTbl!B$3:C$7,2,TRUE)</f>
        <v>105</v>
      </c>
      <c r="M20" t="s">
        <v>51</v>
      </c>
      <c r="N20" s="1">
        <v>7320</v>
      </c>
      <c r="O20" s="1">
        <v>933</v>
      </c>
      <c r="P20" s="7">
        <f>O20/N20</f>
        <v>0.12745901639344262</v>
      </c>
    </row>
    <row r="21" spans="2:16" x14ac:dyDescent="0.25">
      <c r="B21" s="6" t="s">
        <v>217</v>
      </c>
      <c r="C21" s="6">
        <v>45078</v>
      </c>
      <c r="D21" s="8" t="str">
        <f>VLOOKUP(E21:E48,ClientTbl!B$3:C$30,2,TRUE)</f>
        <v>C-101</v>
      </c>
      <c r="E21" t="s">
        <v>90</v>
      </c>
      <c r="F21" t="s">
        <v>138</v>
      </c>
      <c r="G21" t="s">
        <v>139</v>
      </c>
      <c r="H21" s="8">
        <f>VLOOKUP(I21:I48,DeparmentTbl!B$3:C$6,2,TRUE)</f>
        <v>101</v>
      </c>
      <c r="I21" t="s">
        <v>165</v>
      </c>
      <c r="J21" s="8">
        <f>VLOOKUP(K21:K48,StateTbl!B$3:C$6,2,TRUE)</f>
        <v>101</v>
      </c>
      <c r="K21" t="s">
        <v>166</v>
      </c>
      <c r="L21" s="8">
        <f>VLOOKUP(M21:M48,PaymentTbl!B$3:C$7,2,TRUE)</f>
        <v>105</v>
      </c>
      <c r="M21" t="s">
        <v>51</v>
      </c>
      <c r="N21" s="1">
        <v>5087.5</v>
      </c>
      <c r="O21" s="1">
        <v>655</v>
      </c>
      <c r="P21" s="7">
        <f>O21/N21</f>
        <v>0.12874692874692875</v>
      </c>
    </row>
    <row r="22" spans="2:16" x14ac:dyDescent="0.25">
      <c r="B22" s="6" t="s">
        <v>218</v>
      </c>
      <c r="C22" s="6">
        <v>45078</v>
      </c>
      <c r="D22" s="8" t="str">
        <f>VLOOKUP(E22:E49,ClientTbl!B$3:C$30,2,TRUE)</f>
        <v>C-113</v>
      </c>
      <c r="E22" t="s">
        <v>91</v>
      </c>
      <c r="F22" t="s">
        <v>140</v>
      </c>
      <c r="G22" t="s">
        <v>141</v>
      </c>
      <c r="H22" s="8">
        <f>VLOOKUP(I22:I49,DeparmentTbl!B$3:C$6,2,TRUE)</f>
        <v>101</v>
      </c>
      <c r="I22" t="s">
        <v>165</v>
      </c>
      <c r="J22" s="8">
        <f>VLOOKUP(K22:K49,StateTbl!B$3:C$6,2,TRUE)</f>
        <v>101</v>
      </c>
      <c r="K22" t="s">
        <v>166</v>
      </c>
      <c r="L22" s="8">
        <f>VLOOKUP(M22:M49,PaymentTbl!B$3:C$7,2,TRUE)</f>
        <v>105</v>
      </c>
      <c r="M22" t="s">
        <v>51</v>
      </c>
      <c r="N22" s="1">
        <v>4500</v>
      </c>
      <c r="O22" s="1">
        <v>722</v>
      </c>
      <c r="P22" s="7">
        <f>O22/N22</f>
        <v>0.16044444444444445</v>
      </c>
    </row>
    <row r="23" spans="2:16" x14ac:dyDescent="0.25">
      <c r="B23" s="6" t="s">
        <v>219</v>
      </c>
      <c r="C23" s="6">
        <v>45078</v>
      </c>
      <c r="D23" s="8" t="str">
        <f>VLOOKUP(E23:E50,ClientTbl!B$3:C$30,2,TRUE)</f>
        <v>C-112</v>
      </c>
      <c r="E23" t="s">
        <v>92</v>
      </c>
      <c r="F23" t="s">
        <v>142</v>
      </c>
      <c r="G23" t="s">
        <v>143</v>
      </c>
      <c r="H23" s="8">
        <f>VLOOKUP(I23:I50,DeparmentTbl!B$3:C$6,2,TRUE)</f>
        <v>101</v>
      </c>
      <c r="I23" t="s">
        <v>165</v>
      </c>
      <c r="J23" s="8">
        <f>VLOOKUP(K23:K50,StateTbl!B$3:C$6,2,TRUE)</f>
        <v>101</v>
      </c>
      <c r="K23" t="s">
        <v>166</v>
      </c>
      <c r="L23" s="8">
        <f>VLOOKUP(M23:M50,PaymentTbl!B$3:C$7,2,TRUE)</f>
        <v>101</v>
      </c>
      <c r="M23" t="s">
        <v>48</v>
      </c>
      <c r="N23" s="1">
        <v>4250</v>
      </c>
      <c r="O23" s="1">
        <v>901</v>
      </c>
      <c r="P23" s="7">
        <f>O23/N23</f>
        <v>0.21199999999999999</v>
      </c>
    </row>
    <row r="24" spans="2:16" x14ac:dyDescent="0.25">
      <c r="B24" s="6" t="s">
        <v>220</v>
      </c>
      <c r="C24" s="6">
        <v>45079</v>
      </c>
      <c r="D24" s="8" t="str">
        <f>VLOOKUP(E24:E51,ClientTbl!B$3:C$30,2,TRUE)</f>
        <v>C-118</v>
      </c>
      <c r="E24" t="s">
        <v>93</v>
      </c>
      <c r="F24" t="s">
        <v>144</v>
      </c>
      <c r="G24" t="s">
        <v>145</v>
      </c>
      <c r="H24" s="8">
        <f>VLOOKUP(I24:I51,DeparmentTbl!B$3:C$6,2,TRUE)</f>
        <v>101</v>
      </c>
      <c r="I24" t="s">
        <v>165</v>
      </c>
      <c r="J24" s="8">
        <f>VLOOKUP(K24:K51,StateTbl!B$3:C$6,2,TRUE)</f>
        <v>101</v>
      </c>
      <c r="K24" t="s">
        <v>166</v>
      </c>
      <c r="L24" s="8">
        <f>VLOOKUP(M24:M51,PaymentTbl!B$3:C$7,2,TRUE)</f>
        <v>104</v>
      </c>
      <c r="M24" t="s">
        <v>49</v>
      </c>
      <c r="N24" s="1">
        <v>5250</v>
      </c>
      <c r="O24" s="1">
        <v>1349</v>
      </c>
      <c r="P24" s="7">
        <f>O24/N24</f>
        <v>0.25695238095238093</v>
      </c>
    </row>
    <row r="25" spans="2:16" x14ac:dyDescent="0.25">
      <c r="B25" s="6" t="s">
        <v>221</v>
      </c>
      <c r="C25" s="6">
        <v>45079</v>
      </c>
      <c r="D25" s="8" t="str">
        <f>VLOOKUP(E25:E52,ClientTbl!B$3:C$30,2,TRUE)</f>
        <v>C-106</v>
      </c>
      <c r="E25" t="s">
        <v>94</v>
      </c>
      <c r="F25" t="s">
        <v>146</v>
      </c>
      <c r="G25" t="s">
        <v>147</v>
      </c>
      <c r="H25" s="8">
        <f>VLOOKUP(I25:I52,DeparmentTbl!B$3:C$6,2,TRUE)</f>
        <v>104</v>
      </c>
      <c r="I25" t="s">
        <v>161</v>
      </c>
      <c r="J25" s="8">
        <f>VLOOKUP(K25:K52,StateTbl!B$3:C$6,2,TRUE)</f>
        <v>103</v>
      </c>
      <c r="K25" t="s">
        <v>162</v>
      </c>
      <c r="L25" s="8">
        <f>VLOOKUP(M25:M52,PaymentTbl!B$3:C$7,2,TRUE)</f>
        <v>104</v>
      </c>
      <c r="M25" t="s">
        <v>49</v>
      </c>
      <c r="N25" s="1">
        <v>6500</v>
      </c>
      <c r="O25" s="1">
        <v>1288</v>
      </c>
      <c r="P25" s="7">
        <f>O25/N25</f>
        <v>0.19815384615384615</v>
      </c>
    </row>
    <row r="26" spans="2:16" x14ac:dyDescent="0.25">
      <c r="B26" s="6" t="s">
        <v>222</v>
      </c>
      <c r="C26" s="6">
        <v>45079</v>
      </c>
      <c r="D26" s="8" t="str">
        <f>VLOOKUP(E26:E53,ClientTbl!B$3:C$30,2,TRUE)</f>
        <v>C-108</v>
      </c>
      <c r="E26" t="s">
        <v>95</v>
      </c>
      <c r="F26" t="s">
        <v>148</v>
      </c>
      <c r="G26" t="s">
        <v>149</v>
      </c>
      <c r="H26" s="8">
        <f>VLOOKUP(I26:I53,DeparmentTbl!B$3:C$6,2,TRUE)</f>
        <v>104</v>
      </c>
      <c r="I26" t="s">
        <v>161</v>
      </c>
      <c r="J26" s="8">
        <f>VLOOKUP(K26:K53,StateTbl!B$3:C$6,2,TRUE)</f>
        <v>103</v>
      </c>
      <c r="K26" t="s">
        <v>162</v>
      </c>
      <c r="L26" s="8">
        <f>VLOOKUP(M26:M53,PaymentTbl!B$3:C$7,2,TRUE)</f>
        <v>104</v>
      </c>
      <c r="M26" t="s">
        <v>49</v>
      </c>
      <c r="N26" s="1">
        <v>7500</v>
      </c>
      <c r="O26" s="1">
        <v>1664</v>
      </c>
      <c r="P26" s="7">
        <f>O26/N26</f>
        <v>0.22186666666666666</v>
      </c>
    </row>
    <row r="27" spans="2:16" x14ac:dyDescent="0.25">
      <c r="B27" s="6" t="s">
        <v>223</v>
      </c>
      <c r="C27" s="6">
        <v>45079</v>
      </c>
      <c r="D27" s="8" t="str">
        <f>VLOOKUP(E27:E54,ClientTbl!B$3:C$30,2,TRUE)</f>
        <v>C-114</v>
      </c>
      <c r="E27" t="s">
        <v>96</v>
      </c>
      <c r="F27" t="s">
        <v>150</v>
      </c>
      <c r="G27" t="s">
        <v>151</v>
      </c>
      <c r="H27" s="8">
        <f>VLOOKUP(I27:I54,DeparmentTbl!B$3:C$6,2,TRUE)</f>
        <v>104</v>
      </c>
      <c r="I27" t="s">
        <v>161</v>
      </c>
      <c r="J27" s="8">
        <f>VLOOKUP(K27:K54,StateTbl!B$3:C$6,2,TRUE)</f>
        <v>103</v>
      </c>
      <c r="K27" t="s">
        <v>162</v>
      </c>
      <c r="L27" s="8">
        <f>VLOOKUP(M27:M54,PaymentTbl!B$3:C$7,2,TRUE)</f>
        <v>105</v>
      </c>
      <c r="M27" t="s">
        <v>51</v>
      </c>
      <c r="N27" s="1">
        <v>5500</v>
      </c>
      <c r="O27" s="1">
        <v>1320</v>
      </c>
      <c r="P27" s="7">
        <f>O27/N27</f>
        <v>0.24</v>
      </c>
    </row>
    <row r="28" spans="2:16" x14ac:dyDescent="0.25">
      <c r="B28" s="6" t="s">
        <v>224</v>
      </c>
      <c r="C28" s="6">
        <v>45079</v>
      </c>
      <c r="D28" s="8" t="str">
        <f>VLOOKUP(E28:E55,ClientTbl!B$3:C$30,2,TRUE)</f>
        <v>C-110</v>
      </c>
      <c r="E28" t="s">
        <v>97</v>
      </c>
      <c r="F28" t="s">
        <v>152</v>
      </c>
      <c r="G28" t="s">
        <v>153</v>
      </c>
      <c r="H28" s="8">
        <f>VLOOKUP(I28:I55,DeparmentTbl!B$3:C$6,2,TRUE)</f>
        <v>104</v>
      </c>
      <c r="I28" t="s">
        <v>161</v>
      </c>
      <c r="J28" s="8">
        <f>VLOOKUP(K28:K55,StateTbl!B$3:C$6,2,TRUE)</f>
        <v>103</v>
      </c>
      <c r="K28" t="s">
        <v>162</v>
      </c>
      <c r="L28" s="8">
        <f>VLOOKUP(M28:M55,PaymentTbl!B$3:C$7,2,TRUE)</f>
        <v>105</v>
      </c>
      <c r="M28" t="s">
        <v>51</v>
      </c>
      <c r="N28" s="1">
        <v>4625</v>
      </c>
      <c r="O28" s="1">
        <v>1001</v>
      </c>
      <c r="P28" s="7">
        <f>O28/N28</f>
        <v>0.21643243243243243</v>
      </c>
    </row>
    <row r="29" spans="2:16" x14ac:dyDescent="0.25">
      <c r="B29" s="6" t="s">
        <v>225</v>
      </c>
      <c r="C29" s="6">
        <v>45079</v>
      </c>
      <c r="D29" s="8" t="str">
        <f>VLOOKUP(E29:E56,ClientTbl!B$3:C$30,2,TRUE)</f>
        <v>C-111</v>
      </c>
      <c r="E29" t="s">
        <v>98</v>
      </c>
      <c r="F29" t="s">
        <v>154</v>
      </c>
      <c r="G29" t="s">
        <v>155</v>
      </c>
      <c r="H29" s="8">
        <f>VLOOKUP(I29:I56,DeparmentTbl!B$3:C$6,2,TRUE)</f>
        <v>104</v>
      </c>
      <c r="I29" t="s">
        <v>161</v>
      </c>
      <c r="J29" s="8">
        <f>VLOOKUP(K29:K56,StateTbl!B$3:C$6,2,TRUE)</f>
        <v>103</v>
      </c>
      <c r="K29" t="s">
        <v>162</v>
      </c>
      <c r="L29" s="8">
        <f>VLOOKUP(M29:M56,PaymentTbl!B$3:C$7,2,TRUE)</f>
        <v>105</v>
      </c>
      <c r="M29" t="s">
        <v>51</v>
      </c>
      <c r="N29" s="1">
        <v>4500</v>
      </c>
      <c r="O29" s="1">
        <v>960</v>
      </c>
      <c r="P29" s="7">
        <f>O29/N29</f>
        <v>0.21333333333333335</v>
      </c>
    </row>
    <row r="30" spans="2:16" x14ac:dyDescent="0.25">
      <c r="B30" s="6" t="s">
        <v>226</v>
      </c>
      <c r="C30" s="6">
        <v>45079</v>
      </c>
      <c r="D30" s="8" t="str">
        <f>VLOOKUP(E30:E57,ClientTbl!B$3:C$30,2,TRUE)</f>
        <v>C-116</v>
      </c>
      <c r="E30" t="s">
        <v>99</v>
      </c>
      <c r="F30" t="s">
        <v>156</v>
      </c>
      <c r="G30" t="s">
        <v>157</v>
      </c>
      <c r="H30" s="8">
        <f>VLOOKUP(I30:I57,DeparmentTbl!B$3:C$6,2,TRUE)</f>
        <v>104</v>
      </c>
      <c r="I30" t="s">
        <v>161</v>
      </c>
      <c r="J30" s="8">
        <f>VLOOKUP(K30:K57,StateTbl!B$3:C$6,2,TRUE)</f>
        <v>103</v>
      </c>
      <c r="K30" t="s">
        <v>162</v>
      </c>
      <c r="L30" s="8">
        <f>VLOOKUP(M30:M57,PaymentTbl!B$3:C$7,2,TRUE)</f>
        <v>101</v>
      </c>
      <c r="M30" t="s">
        <v>48</v>
      </c>
      <c r="N30" s="1">
        <v>5400</v>
      </c>
      <c r="O30" s="1">
        <v>540</v>
      </c>
      <c r="P30" s="7">
        <f>O30/N30</f>
        <v>0.1</v>
      </c>
    </row>
    <row r="34" spans="14:14" x14ac:dyDescent="0.25">
      <c r="N34" s="1">
        <f>AVERAGE(N3:N33)</f>
        <v>4975.7481527093596</v>
      </c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zoomScaleNormal="100" workbookViewId="0">
      <selection activeCell="C3" sqref="C3:C6"/>
    </sheetView>
  </sheetViews>
  <sheetFormatPr defaultColWidth="11" defaultRowHeight="15.75" x14ac:dyDescent="0.25"/>
  <cols>
    <col min="1" max="1" width="3.5" customWidth="1"/>
    <col min="2" max="2" width="8.75" bestFit="1" customWidth="1"/>
  </cols>
  <sheetData>
    <row r="2" spans="2:3" ht="23.25" x14ac:dyDescent="0.35">
      <c r="B2" s="4" t="s">
        <v>158</v>
      </c>
      <c r="C2" s="4" t="s">
        <v>228</v>
      </c>
    </row>
    <row r="3" spans="2:3" x14ac:dyDescent="0.25">
      <c r="B3" t="s">
        <v>166</v>
      </c>
      <c r="C3">
        <v>101</v>
      </c>
    </row>
    <row r="4" spans="2:3" x14ac:dyDescent="0.25">
      <c r="B4" t="s">
        <v>164</v>
      </c>
      <c r="C4">
        <v>102</v>
      </c>
    </row>
    <row r="5" spans="2:3" x14ac:dyDescent="0.25">
      <c r="B5" t="s">
        <v>162</v>
      </c>
      <c r="C5">
        <v>103</v>
      </c>
    </row>
    <row r="6" spans="2:3" x14ac:dyDescent="0.25">
      <c r="B6" t="s">
        <v>160</v>
      </c>
      <c r="C6">
        <v>104</v>
      </c>
    </row>
  </sheetData>
  <sortState ref="B3:C6">
    <sortCondition ref="B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zoomScaleNormal="100" workbookViewId="0">
      <selection activeCell="C3" sqref="C3:C7"/>
    </sheetView>
  </sheetViews>
  <sheetFormatPr defaultColWidth="11" defaultRowHeight="15.75" x14ac:dyDescent="0.25"/>
  <cols>
    <col min="1" max="1" width="3.5" customWidth="1"/>
    <col min="2" max="2" width="12.375" customWidth="1"/>
  </cols>
  <sheetData>
    <row r="2" spans="2:3" ht="23.25" x14ac:dyDescent="0.35">
      <c r="B2" s="4" t="s">
        <v>47</v>
      </c>
      <c r="C2" s="4" t="s">
        <v>198</v>
      </c>
    </row>
    <row r="3" spans="2:3" x14ac:dyDescent="0.25">
      <c r="B3" t="s">
        <v>48</v>
      </c>
      <c r="C3">
        <v>101</v>
      </c>
    </row>
    <row r="4" spans="2:3" x14ac:dyDescent="0.25">
      <c r="B4" t="s">
        <v>50</v>
      </c>
      <c r="C4">
        <v>102</v>
      </c>
    </row>
    <row r="5" spans="2:3" x14ac:dyDescent="0.25">
      <c r="B5" t="s">
        <v>167</v>
      </c>
      <c r="C5">
        <v>103</v>
      </c>
    </row>
    <row r="6" spans="2:3" x14ac:dyDescent="0.25">
      <c r="B6" t="s">
        <v>49</v>
      </c>
      <c r="C6">
        <v>104</v>
      </c>
    </row>
    <row r="7" spans="2:3" x14ac:dyDescent="0.25">
      <c r="B7" t="s">
        <v>51</v>
      </c>
      <c r="C7">
        <v>105</v>
      </c>
    </row>
  </sheetData>
  <sortState ref="B3:C7">
    <sortCondition ref="B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zoomScaleNormal="100" workbookViewId="0">
      <selection activeCell="C3" sqref="C3:C6"/>
    </sheetView>
  </sheetViews>
  <sheetFormatPr defaultColWidth="11" defaultRowHeight="15.75" x14ac:dyDescent="0.25"/>
  <cols>
    <col min="1" max="1" width="3.5" customWidth="1"/>
    <col min="2" max="2" width="16.5" bestFit="1" customWidth="1"/>
  </cols>
  <sheetData>
    <row r="2" spans="2:3" ht="23.25" x14ac:dyDescent="0.35">
      <c r="B2" s="4" t="s">
        <v>6</v>
      </c>
      <c r="C2" s="4" t="s">
        <v>197</v>
      </c>
    </row>
    <row r="3" spans="2:3" x14ac:dyDescent="0.25">
      <c r="B3" t="s">
        <v>165</v>
      </c>
      <c r="C3">
        <v>101</v>
      </c>
    </row>
    <row r="4" spans="2:3" x14ac:dyDescent="0.25">
      <c r="B4" t="s">
        <v>159</v>
      </c>
      <c r="C4">
        <v>102</v>
      </c>
    </row>
    <row r="5" spans="2:3" x14ac:dyDescent="0.25">
      <c r="B5" t="s">
        <v>163</v>
      </c>
      <c r="C5">
        <v>103</v>
      </c>
    </row>
    <row r="6" spans="2:3" x14ac:dyDescent="0.25">
      <c r="B6" t="s">
        <v>161</v>
      </c>
      <c r="C6">
        <v>104</v>
      </c>
    </row>
  </sheetData>
  <sortState ref="B3:C6">
    <sortCondition ref="B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Views>
    <sheetView zoomScaleNormal="100" workbookViewId="0">
      <selection activeCell="B2" sqref="B2:B30"/>
    </sheetView>
  </sheetViews>
  <sheetFormatPr defaultColWidth="11" defaultRowHeight="15.75" x14ac:dyDescent="0.25"/>
  <cols>
    <col min="1" max="1" width="3.5" customWidth="1"/>
    <col min="2" max="2" width="43.125" customWidth="1"/>
    <col min="3" max="3" width="12.25" bestFit="1" customWidth="1"/>
    <col min="4" max="4" width="20.375" bestFit="1" customWidth="1"/>
    <col min="5" max="5" width="14.375" bestFit="1" customWidth="1"/>
    <col min="6" max="6" width="16.5" bestFit="1" customWidth="1"/>
    <col min="7" max="7" width="8.75" bestFit="1" customWidth="1"/>
    <col min="8" max="8" width="12.375" customWidth="1"/>
    <col min="9" max="9" width="12.25" customWidth="1"/>
    <col min="10" max="10" width="8.25" customWidth="1"/>
    <col min="11" max="11" width="18.125" customWidth="1"/>
  </cols>
  <sheetData>
    <row r="2" spans="2:11" ht="23.25" x14ac:dyDescent="0.35">
      <c r="B2" s="4" t="s">
        <v>5</v>
      </c>
      <c r="C2" s="5" t="s">
        <v>168</v>
      </c>
      <c r="D2" s="4" t="s">
        <v>100</v>
      </c>
      <c r="E2" s="4" t="s">
        <v>101</v>
      </c>
      <c r="F2" s="4"/>
      <c r="G2" s="4"/>
      <c r="H2" s="4"/>
      <c r="I2" s="4"/>
      <c r="J2" s="4"/>
      <c r="K2" s="4"/>
    </row>
    <row r="3" spans="2:11" x14ac:dyDescent="0.25">
      <c r="B3" t="s">
        <v>72</v>
      </c>
      <c r="C3" s="6" t="s">
        <v>169</v>
      </c>
      <c r="D3" t="s">
        <v>102</v>
      </c>
      <c r="E3" t="s">
        <v>103</v>
      </c>
      <c r="I3" s="1"/>
      <c r="J3" s="1"/>
      <c r="K3" s="7"/>
    </row>
    <row r="4" spans="2:11" x14ac:dyDescent="0.25">
      <c r="B4" t="s">
        <v>90</v>
      </c>
      <c r="C4" s="6" t="s">
        <v>170</v>
      </c>
      <c r="D4" t="s">
        <v>138</v>
      </c>
      <c r="E4" t="s">
        <v>139</v>
      </c>
      <c r="I4" s="1"/>
      <c r="J4" s="1"/>
      <c r="K4" s="7"/>
    </row>
    <row r="5" spans="2:11" x14ac:dyDescent="0.25">
      <c r="B5" t="s">
        <v>80</v>
      </c>
      <c r="C5" s="6" t="s">
        <v>171</v>
      </c>
      <c r="D5" t="s">
        <v>118</v>
      </c>
      <c r="E5" t="s">
        <v>119</v>
      </c>
      <c r="I5" s="1"/>
      <c r="J5" s="1"/>
      <c r="K5" s="7"/>
    </row>
    <row r="6" spans="2:11" x14ac:dyDescent="0.25">
      <c r="B6" t="s">
        <v>89</v>
      </c>
      <c r="C6" s="6" t="s">
        <v>172</v>
      </c>
      <c r="D6" t="s">
        <v>136</v>
      </c>
      <c r="E6" t="s">
        <v>137</v>
      </c>
      <c r="I6" s="1"/>
      <c r="J6" s="1"/>
      <c r="K6" s="7"/>
    </row>
    <row r="7" spans="2:11" x14ac:dyDescent="0.25">
      <c r="B7" t="s">
        <v>88</v>
      </c>
      <c r="C7" s="6" t="s">
        <v>173</v>
      </c>
      <c r="D7" t="s">
        <v>134</v>
      </c>
      <c r="E7" t="s">
        <v>135</v>
      </c>
      <c r="I7" s="1"/>
      <c r="J7" s="1"/>
      <c r="K7" s="7"/>
    </row>
    <row r="8" spans="2:11" x14ac:dyDescent="0.25">
      <c r="B8" t="s">
        <v>79</v>
      </c>
      <c r="C8" s="6" t="s">
        <v>174</v>
      </c>
      <c r="D8" t="s">
        <v>116</v>
      </c>
      <c r="E8" t="s">
        <v>117</v>
      </c>
      <c r="I8" s="1"/>
      <c r="J8" s="1"/>
      <c r="K8" s="7"/>
    </row>
    <row r="9" spans="2:11" x14ac:dyDescent="0.25">
      <c r="B9" t="s">
        <v>94</v>
      </c>
      <c r="C9" s="6" t="s">
        <v>175</v>
      </c>
      <c r="D9" t="s">
        <v>146</v>
      </c>
      <c r="E9" t="s">
        <v>147</v>
      </c>
      <c r="I9" s="1"/>
      <c r="J9" s="1"/>
      <c r="K9" s="7"/>
    </row>
    <row r="10" spans="2:11" x14ac:dyDescent="0.25">
      <c r="B10" t="s">
        <v>83</v>
      </c>
      <c r="C10" s="6" t="s">
        <v>176</v>
      </c>
      <c r="D10" t="s">
        <v>124</v>
      </c>
      <c r="E10" t="s">
        <v>125</v>
      </c>
      <c r="I10" s="1"/>
      <c r="J10" s="1"/>
      <c r="K10" s="7"/>
    </row>
    <row r="11" spans="2:11" x14ac:dyDescent="0.25">
      <c r="B11" t="s">
        <v>95</v>
      </c>
      <c r="C11" s="6" t="s">
        <v>177</v>
      </c>
      <c r="D11" t="s">
        <v>148</v>
      </c>
      <c r="E11" t="s">
        <v>149</v>
      </c>
      <c r="I11" s="1"/>
      <c r="J11" s="1"/>
      <c r="K11" s="7"/>
    </row>
    <row r="12" spans="2:11" x14ac:dyDescent="0.25">
      <c r="B12" t="s">
        <v>85</v>
      </c>
      <c r="C12" s="6" t="s">
        <v>178</v>
      </c>
      <c r="D12" t="s">
        <v>128</v>
      </c>
      <c r="E12" t="s">
        <v>129</v>
      </c>
      <c r="I12" s="1"/>
      <c r="J12" s="1"/>
      <c r="K12" s="7"/>
    </row>
    <row r="13" spans="2:11" x14ac:dyDescent="0.25">
      <c r="B13" t="s">
        <v>97</v>
      </c>
      <c r="C13" s="6" t="s">
        <v>179</v>
      </c>
      <c r="D13" t="s">
        <v>152</v>
      </c>
      <c r="E13" t="s">
        <v>153</v>
      </c>
      <c r="I13" s="1"/>
      <c r="J13" s="1"/>
      <c r="K13" s="7"/>
    </row>
    <row r="14" spans="2:11" x14ac:dyDescent="0.25">
      <c r="B14" t="s">
        <v>98</v>
      </c>
      <c r="C14" s="6" t="s">
        <v>180</v>
      </c>
      <c r="D14" t="s">
        <v>154</v>
      </c>
      <c r="E14" t="s">
        <v>155</v>
      </c>
      <c r="I14" s="1"/>
      <c r="J14" s="1"/>
      <c r="K14" s="7"/>
    </row>
    <row r="15" spans="2:11" x14ac:dyDescent="0.25">
      <c r="B15" t="s">
        <v>92</v>
      </c>
      <c r="C15" s="6" t="s">
        <v>181</v>
      </c>
      <c r="D15" t="s">
        <v>142</v>
      </c>
      <c r="E15" t="s">
        <v>143</v>
      </c>
      <c r="I15" s="1"/>
      <c r="J15" s="1"/>
      <c r="K15" s="7"/>
    </row>
    <row r="16" spans="2:11" x14ac:dyDescent="0.25">
      <c r="B16" t="s">
        <v>91</v>
      </c>
      <c r="C16" s="6" t="s">
        <v>182</v>
      </c>
      <c r="D16" t="s">
        <v>140</v>
      </c>
      <c r="E16" t="s">
        <v>141</v>
      </c>
      <c r="I16" s="1"/>
      <c r="J16" s="1"/>
      <c r="K16" s="7"/>
    </row>
    <row r="17" spans="2:11" x14ac:dyDescent="0.25">
      <c r="B17" t="s">
        <v>96</v>
      </c>
      <c r="C17" s="6" t="s">
        <v>183</v>
      </c>
      <c r="D17" t="s">
        <v>150</v>
      </c>
      <c r="E17" t="s">
        <v>151</v>
      </c>
      <c r="I17" s="1"/>
      <c r="J17" s="1"/>
      <c r="K17" s="7"/>
    </row>
    <row r="18" spans="2:11" x14ac:dyDescent="0.25">
      <c r="B18" t="s">
        <v>77</v>
      </c>
      <c r="C18" s="6" t="s">
        <v>184</v>
      </c>
      <c r="D18" t="s">
        <v>112</v>
      </c>
      <c r="E18" t="s">
        <v>113</v>
      </c>
      <c r="I18" s="1"/>
      <c r="J18" s="1"/>
      <c r="K18" s="7"/>
    </row>
    <row r="19" spans="2:11" x14ac:dyDescent="0.25">
      <c r="B19" t="s">
        <v>99</v>
      </c>
      <c r="C19" s="6" t="s">
        <v>185</v>
      </c>
      <c r="D19" t="s">
        <v>156</v>
      </c>
      <c r="E19" t="s">
        <v>157</v>
      </c>
      <c r="I19" s="1"/>
      <c r="J19" s="1"/>
      <c r="K19" s="7"/>
    </row>
    <row r="20" spans="2:11" x14ac:dyDescent="0.25">
      <c r="B20" t="s">
        <v>84</v>
      </c>
      <c r="C20" s="6" t="s">
        <v>186</v>
      </c>
      <c r="D20" t="s">
        <v>126</v>
      </c>
      <c r="E20" t="s">
        <v>127</v>
      </c>
      <c r="I20" s="1"/>
      <c r="J20" s="1"/>
      <c r="K20" s="7"/>
    </row>
    <row r="21" spans="2:11" x14ac:dyDescent="0.25">
      <c r="B21" t="s">
        <v>93</v>
      </c>
      <c r="C21" s="6" t="s">
        <v>187</v>
      </c>
      <c r="D21" t="s">
        <v>144</v>
      </c>
      <c r="E21" t="s">
        <v>145</v>
      </c>
      <c r="I21" s="1"/>
      <c r="J21" s="1"/>
      <c r="K21" s="7"/>
    </row>
    <row r="22" spans="2:11" x14ac:dyDescent="0.25">
      <c r="B22" t="s">
        <v>78</v>
      </c>
      <c r="C22" s="6" t="s">
        <v>188</v>
      </c>
      <c r="D22" t="s">
        <v>114</v>
      </c>
      <c r="E22" t="s">
        <v>115</v>
      </c>
      <c r="I22" s="1"/>
      <c r="J22" s="1"/>
      <c r="K22" s="7"/>
    </row>
    <row r="23" spans="2:11" x14ac:dyDescent="0.25">
      <c r="B23" t="s">
        <v>74</v>
      </c>
      <c r="C23" s="6" t="s">
        <v>189</v>
      </c>
      <c r="D23" t="s">
        <v>106</v>
      </c>
      <c r="E23" t="s">
        <v>107</v>
      </c>
      <c r="I23" s="1"/>
      <c r="J23" s="1"/>
      <c r="K23" s="7"/>
    </row>
    <row r="24" spans="2:11" x14ac:dyDescent="0.25">
      <c r="B24" t="s">
        <v>82</v>
      </c>
      <c r="C24" s="6" t="s">
        <v>190</v>
      </c>
      <c r="D24" t="s">
        <v>122</v>
      </c>
      <c r="E24" t="s">
        <v>123</v>
      </c>
      <c r="I24" s="1"/>
      <c r="J24" s="1"/>
      <c r="K24" s="7"/>
    </row>
    <row r="25" spans="2:11" x14ac:dyDescent="0.25">
      <c r="B25" t="s">
        <v>73</v>
      </c>
      <c r="C25" s="6" t="s">
        <v>191</v>
      </c>
      <c r="D25" t="s">
        <v>104</v>
      </c>
      <c r="E25" t="s">
        <v>105</v>
      </c>
      <c r="I25" s="1"/>
      <c r="J25" s="1"/>
      <c r="K25" s="7"/>
    </row>
    <row r="26" spans="2:11" x14ac:dyDescent="0.25">
      <c r="B26" t="s">
        <v>76</v>
      </c>
      <c r="C26" s="6" t="s">
        <v>192</v>
      </c>
      <c r="D26" t="s">
        <v>110</v>
      </c>
      <c r="E26" t="s">
        <v>111</v>
      </c>
      <c r="I26" s="1"/>
      <c r="J26" s="1"/>
      <c r="K26" s="7"/>
    </row>
    <row r="27" spans="2:11" x14ac:dyDescent="0.25">
      <c r="B27" t="s">
        <v>87</v>
      </c>
      <c r="C27" s="6" t="s">
        <v>193</v>
      </c>
      <c r="D27" t="s">
        <v>132</v>
      </c>
      <c r="E27" t="s">
        <v>133</v>
      </c>
      <c r="I27" s="1"/>
      <c r="J27" s="1"/>
      <c r="K27" s="7"/>
    </row>
    <row r="28" spans="2:11" x14ac:dyDescent="0.25">
      <c r="B28" t="s">
        <v>75</v>
      </c>
      <c r="C28" s="6" t="s">
        <v>194</v>
      </c>
      <c r="D28" t="s">
        <v>108</v>
      </c>
      <c r="E28" t="s">
        <v>109</v>
      </c>
      <c r="I28" s="1"/>
      <c r="J28" s="1"/>
      <c r="K28" s="7"/>
    </row>
    <row r="29" spans="2:11" x14ac:dyDescent="0.25">
      <c r="B29" t="s">
        <v>86</v>
      </c>
      <c r="C29" s="6" t="s">
        <v>195</v>
      </c>
      <c r="D29" t="s">
        <v>130</v>
      </c>
      <c r="E29" t="s">
        <v>131</v>
      </c>
      <c r="I29" s="1"/>
      <c r="J29" s="1"/>
      <c r="K29" s="7"/>
    </row>
    <row r="30" spans="2:11" x14ac:dyDescent="0.25">
      <c r="B30" t="s">
        <v>81</v>
      </c>
      <c r="C30" s="6" t="s">
        <v>196</v>
      </c>
      <c r="D30" t="s">
        <v>120</v>
      </c>
      <c r="E30" t="s">
        <v>121</v>
      </c>
      <c r="I30" s="1"/>
      <c r="J30" s="1"/>
      <c r="K30" s="7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</sheetData>
  <sortState ref="B3:E30">
    <sortCondition ref="B3:B30"/>
    <sortCondition ref="D3:D30"/>
    <sortCondition ref="E3:E30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topLeftCell="A4" zoomScale="115" zoomScaleNormal="115" workbookViewId="0">
      <selection activeCell="B27" sqref="B27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4" t="s">
        <v>0</v>
      </c>
      <c r="C2" s="4" t="s">
        <v>5</v>
      </c>
      <c r="D2" s="4" t="s">
        <v>1</v>
      </c>
      <c r="E2" s="4" t="s">
        <v>6</v>
      </c>
      <c r="F2" s="4" t="s">
        <v>47</v>
      </c>
      <c r="G2" s="4" t="s">
        <v>2</v>
      </c>
      <c r="H2" s="4" t="s">
        <v>3</v>
      </c>
      <c r="I2" s="4" t="s">
        <v>4</v>
      </c>
    </row>
    <row r="3" spans="2:9" x14ac:dyDescent="0.25">
      <c r="B3" s="3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3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3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3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3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25">
      <c r="B8" s="3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3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ht="164.25" customHeight="1" x14ac:dyDescent="0.25">
      <c r="B10" s="3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3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25">
      <c r="B12" s="3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3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3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3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3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3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25">
      <c r="B18" s="3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3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59.75" customHeight="1" x14ac:dyDescent="0.25">
      <c r="B20" s="3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3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3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x14ac:dyDescent="0.25">
      <c r="B23" s="3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25">
      <c r="B24" s="3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3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3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3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3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3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3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3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3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3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RevenueTbl</vt:lpstr>
      <vt:lpstr>StateTbl</vt:lpstr>
      <vt:lpstr>PaymentTbl</vt:lpstr>
      <vt:lpstr>DeparmentTbl</vt:lpstr>
      <vt:lpstr>ClientTbl</vt:lpstr>
      <vt:lpstr>Dirty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2026-02-06T09:52:53Z</dcterms:modified>
</cp:coreProperties>
</file>